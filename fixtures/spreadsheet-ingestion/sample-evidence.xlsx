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 Statement" sheetId="1" r:id="rId4"/>
    <x:sheet xmlns:r="http://schemas.openxmlformats.org/officeDocument/2006/relationships" name="Assumptions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$0.00"/>
    <x:numFmt numFmtId="202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200" fontId="3" fillId="0" borderId="1" xfId="0" applyNumberFormat="1" applyFont="1" applyFill="1" applyBorder="1"/>
    <x:xf numFmtId="200" fontId="2" fillId="0" borderId="1" xfId="0" applyNumberFormat="1" applyFont="1" applyFill="1" applyBorder="1"/>
    <x:xf numFmtId="0" fontId="0" fillId="0" borderId="1" xfId="0" applyNumberFormat="1" applyFont="1" applyFill="1" applyBorder="1"/>
    <x:xf numFmtId="201" fontId="2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202" fontId="3" fillId="0" borderId="1" xfId="0" applyNumberFormat="1" applyFont="1" applyFill="1" applyBorder="1"/>
    <x:xf numFmtId="201" fontId="3" fillId="0" borderId="1" xfId="0" applyNumberFormat="1" applyFont="1" applyFill="1" applyBorder="1"/>
    <x:xf numFmtId="201" fontId="4" fillId="0" borderId="1" xfId="0" applyNumberFormat="1" applyFont="1" applyFill="1" applyBorder="1"/>
    <x:xf numFmtId="202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.559999942779541" hidden="0" customWidth="1"/>
    <x:col min="3" max="3" width="10.890000343322754" hidden="0" customWidth="1"/>
    <x:col min="4" max="4" width="10.890000343322754" hidden="0" customWidth="1"/>
    <x:col min="5" max="5" width="10.220000267028809" hidden="0" customWidth="1"/>
    <x:col min="6" max="6" width="24" hidden="0" customWidth="1"/>
  </x:cols>
  <x:sheetData>
    <x:row r="1" ht="15" hidden="0" customHeight="1">
      <x:c r="A1" s="14" t="str">
        <x:v>Metric</x:v>
      </x:c>
      <x:c r="B1" s="14" t="str">
        <x:v>Period</x:v>
      </x:c>
      <x:c r="C1" s="14" t="str">
        <x:v>Actual</x:v>
      </x:c>
      <x:c r="D1" s="14" t="str">
        <x:v>Budget</x:v>
      </x:c>
      <x:c r="E1" s="14" t="str">
        <x:v>Variance</x:v>
      </x:c>
      <x:c r="F1" s="14" t="str">
        <x:v>Unit</x:v>
      </x:c>
    </x:row>
    <x:row r="2" ht="15" hidden="0" customHeight="1">
      <x:c r="A2" s="15" t="str">
        <x:v>Room Revenue</x:v>
      </x:c>
      <x:c r="B2" s="15" t="n">
        <x:v>2020</x:v>
      </x:c>
      <x:c r="C2" s="16" t="n">
        <x:v>3285000</x:v>
      </x:c>
      <x:c r="D2" s="16" t="n">
        <x:v>3400000</x:v>
      </x:c>
      <x:c r="E2" s="17" t="n">
        <x:f>C2-D2</x:f>
        <x:v>-115000</x:v>
      </x:c>
      <x:c r="F2" s="18" t="str">
        <x:v>USD</x:v>
      </x:c>
    </x:row>
    <x:row r="3" ht="15" hidden="0" customHeight="1">
      <x:c r="A3" s="15" t="str">
        <x:v>Available Room Nights</x:v>
      </x:c>
      <x:c r="B3" s="15" t="n">
        <x:v>2020</x:v>
      </x:c>
      <x:c r="C3" s="16" t="n">
        <x:v>36500</x:v>
      </x:c>
      <x:c r="D3" s="16" t="n">
        <x:v>36600</x:v>
      </x:c>
      <x:c r="E3" s="17" t="n">
        <x:f>C3-D3</x:f>
        <x:v>-100</x:v>
      </x:c>
      <x:c r="F3" s="18" t="str">
        <x:v>room_nights</x:v>
      </x:c>
    </x:row>
    <x:row r="4" ht="15" hidden="0" customHeight="1">
      <x:c r="A4" s="15" t="str">
        <x:v>RevPAR</x:v>
      </x:c>
      <x:c r="B4" s="15" t="n">
        <x:v>2020</x:v>
      </x:c>
      <x:c r="C4" s="19" t="n">
        <x:f>C2/C3</x:f>
        <x:v>90</x:v>
      </x:c>
      <x:c r="D4" s="19" t="n">
        <x:f>D2/D3</x:f>
        <x:v>92.89617486338798</x:v>
      </x:c>
      <x:c r="E4" s="19" t="n">
        <x:f>C4-D4</x:f>
        <x:v>-2.8961748633879836</x:v>
      </x:c>
      <x:c r="F4" s="18" t="str">
        <x:v>USD_per_available_room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.559999942779541" hidden="0" customWidth="1"/>
    <x:col min="3" max="3" width="6.440000057220459" hidden="0" customWidth="1"/>
    <x:col min="4" max="4" width="24" hidden="0" customWidth="1"/>
  </x:cols>
  <x:sheetData>
    <x:row r="1" ht="15" hidden="0" customHeight="1">
      <x:c r="A1" s="14" t="str">
        <x:v>Variable</x:v>
      </x:c>
      <x:c r="B1" s="14" t="str">
        <x:v>Period</x:v>
      </x:c>
      <x:c r="C1" s="14" t="str">
        <x:v>Value</x:v>
      </x:c>
      <x:c r="D1" s="14" t="str">
        <x:v>Unit</x:v>
      </x:c>
    </x:row>
    <x:row r="2" ht="15" hidden="0" customHeight="1">
      <x:c r="A2" s="18" t="str">
        <x:v>Occupancy</x:v>
      </x:c>
      <x:c r="B2" s="18" t="n">
        <x:v>2020</x:v>
      </x:c>
      <x:c r="C2" s="27" t="n">
        <x:v>0.725</x:v>
      </x:c>
      <x:c r="D2" s="18" t="str">
        <x:v>ratio</x:v>
      </x:c>
    </x:row>
    <x:row r="3" ht="15" hidden="0" customHeight="1">
      <x:c r="A3" s="18" t="str">
        <x:v>ADR</x:v>
      </x:c>
      <x:c r="B3" s="18" t="n">
        <x:v>2020</x:v>
      </x:c>
      <x:c r="C3" s="28" t="n">
        <x:v>123.45</x:v>
      </x:c>
      <x:c r="D3" s="18" t="str">
        <x:v>USD</x:v>
      </x:c>
    </x:row>
    <x:row r="4" ht="15" hidden="0" customHeight="1">
      <x:c r="A4" s="18" t="str">
        <x:v>Implied RevPAR</x:v>
      </x:c>
      <x:c r="B4" s="18" t="n">
        <x:v>2020</x:v>
      </x:c>
      <x:c r="C4" s="19" t="n">
        <x:f>C2*C3</x:f>
        <x:v>89.50125</x:v>
      </x:c>
      <x:c r="D4" s="18" t="str">
        <x:v>USD_per_available_room</x:v>
      </x:c>
    </x:row>
    <x:row r="5" ht="15" hidden="0" customHeight="1">
      <x:c r="A5" s="18" t="str">
        <x:v>Reported RevPAR</x:v>
      </x:c>
      <x:c r="B5" s="18" t="n">
        <x:v>2020</x:v>
      </x:c>
      <x:c r="C5" s="29" t="n">
        <x:f>'Operating Statement'!C4</x:f>
        <x:v>90</x:v>
      </x:c>
      <x:c r="D5" s="18" t="str">
        <x:v>USD_per_available_room</x:v>
      </x:c>
    </x:row>
  </x:sheetData>
  <x:pageMargins left="0.7" right="0.7" top="0.75" bottom="0.75" header="0.3" footer="0.3"/>
</x:worksheet>
</file>